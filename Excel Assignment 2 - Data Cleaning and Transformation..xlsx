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2467DCDB-64B2-4C7F-A1ED-7E4EDC7CAC7A}" xr6:coauthVersionLast="45" xr6:coauthVersionMax="45" xr10:uidLastSave="{00000000-0000-0000-0000-000000000000}"/>
  <bookViews>
    <workbookView xWindow="-120" yWindow="-120" windowWidth="20730" windowHeight="11040" activeTab="2" xr2:uid="{590C645E-1FF4-46E5-9C41-6EC3F278C721}"/>
  </bookViews>
  <sheets>
    <sheet name="Instructions" sheetId="2" r:id="rId1"/>
    <sheet name="Dataset" sheetId="4" r:id="rId2"/>
    <sheet name="solu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</calcChain>
</file>

<file path=xl/sharedStrings.xml><?xml version="1.0" encoding="utf-8"?>
<sst xmlns="http://schemas.openxmlformats.org/spreadsheetml/2006/main" count="288" uniqueCount="121">
  <si>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</si>
  <si>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</si>
  <si>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</si>
  <si>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</si>
  <si>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</si>
  <si>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</si>
  <si>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</si>
  <si>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</si>
  <si>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</si>
  <si>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</si>
  <si>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</si>
  <si>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</si>
  <si>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</si>
  <si>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</si>
  <si>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</si>
  <si>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</si>
  <si>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</si>
  <si>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</si>
  <si>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</si>
  <si>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</si>
  <si>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</si>
  <si>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</si>
  <si>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</si>
  <si>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</si>
  <si>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</si>
  <si>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</si>
  <si>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</si>
  <si>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</si>
  <si>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</si>
  <si>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</si>
  <si>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</si>
  <si>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</si>
  <si>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</si>
  <si>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</si>
  <si>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</si>
  <si>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</si>
  <si>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</si>
  <si>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</si>
  <si>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</si>
  <si>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</si>
  <si>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</si>
  <si>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</si>
  <si>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</si>
  <si>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</si>
  <si>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</si>
  <si>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</si>
  <si>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</si>
  <si>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</si>
  <si>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</si>
  <si>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</si>
  <si>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</si>
  <si>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</si>
  <si>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</si>
  <si>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</si>
  <si>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</si>
  <si>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</si>
  <si>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</si>
  <si>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</si>
  <si>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</si>
  <si>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</si>
  <si>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</si>
  <si>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</si>
  <si>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</si>
  <si>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</si>
  <si>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</si>
  <si>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</si>
  <si>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</si>
  <si>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</si>
  <si>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</si>
  <si>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</si>
  <si>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</si>
  <si>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</si>
  <si>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</si>
  <si>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</si>
  <si>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</si>
  <si>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</si>
  <si>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</si>
  <si>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</si>
  <si>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</si>
  <si>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</si>
  <si>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</si>
  <si>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</si>
  <si>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</si>
  <si>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</si>
  <si>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</si>
  <si>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</si>
  <si>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</si>
  <si>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</si>
  <si>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</si>
  <si>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</si>
  <si>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</si>
  <si>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</si>
  <si>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</si>
  <si>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</si>
  <si>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</si>
  <si>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</si>
  <si>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</si>
  <si>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</si>
  <si>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</si>
  <si>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</si>
  <si>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</si>
  <si>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</si>
  <si>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</si>
  <si>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</si>
  <si>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</si>
  <si>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</si>
  <si>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</si>
  <si>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</si>
  <si>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</si>
  <si>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</si>
  <si>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</si>
  <si>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</si>
  <si>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</si>
  <si>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</si>
  <si>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</si>
  <si>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</si>
  <si>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Price($)-Imputed</t>
  </si>
  <si>
    <t>Manufacturing Date</t>
  </si>
  <si>
    <t>Country Code</t>
  </si>
  <si>
    <t>Product Brand</t>
  </si>
  <si>
    <t>Category-impute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</si>
</sst>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_-[$$-409]* #,##0.00_ ;_-[$$-409]* \-#,##0.00\ ;_-[$$-409]* &quot;-&quot;??_ ;_-@_ "/>
  </numFmts>
  <fonts count="14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21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4" fillId="0" borderId="0" xfId="1" applyFont="1"/>
    <xf numFmtId="0" fontId="5" fillId="0" borderId="0" xfId="1" applyFont="1"/>
    <xf numFmtId="0" fontId="6" fillId="0" borderId="0" xfId="1" applyFont="1"/>
    <xf numFmtId="0" fontId="7" fillId="0" borderId="0" xfId="1" applyFont="1"/>
    <xf numFmtId="0" fontId="8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/>
    </xf>
    <xf numFmtId="14" fontId="6" fillId="0" borderId="0" xfId="1" applyNumberFormat="1" applyFont="1" applyFill="1"/>
    <xf numFmtId="0" fontId="6" fillId="0" borderId="0" xfId="1" applyFont="1" applyFill="1"/>
    <xf numFmtId="171" fontId="6" fillId="0" borderId="0" xfId="1" applyNumberFormat="1" applyFont="1" applyFill="1" applyAlignment="1">
      <alignment horizontal="right"/>
    </xf>
    <xf numFmtId="171" fontId="6" fillId="0" borderId="0" xfId="1" applyNumberFormat="1" applyFont="1" applyFill="1"/>
    <xf numFmtId="0" fontId="9" fillId="0" borderId="0" xfId="1" applyFont="1" applyFill="1"/>
    <xf numFmtId="0" fontId="10" fillId="2" borderId="0" xfId="2" applyFont="1" applyFill="1" applyAlignment="1">
      <alignment horizontal="center"/>
    </xf>
    <xf numFmtId="0" fontId="11" fillId="0" borderId="0" xfId="2"/>
    <xf numFmtId="0" fontId="9" fillId="0" borderId="0" xfId="2" applyFont="1"/>
    <xf numFmtId="0" fontId="9" fillId="3" borderId="0" xfId="2" applyFont="1" applyFill="1"/>
    <xf numFmtId="0" fontId="12" fillId="0" borderId="0" xfId="2" applyFont="1"/>
    <xf numFmtId="0" fontId="13" fillId="0" borderId="0" xfId="2" applyFont="1"/>
  </cellXfs>
  <cellStyles count="3">
    <cellStyle name="Normal" xfId="0" builtinId="0"/>
    <cellStyle name="Normal 2" xfId="1" xr:uid="{5D441B6D-29CA-4D94-94D4-AF3ADD21A4CB}"/>
    <cellStyle name="Normal 3" xfId="2" xr:uid="{1059B74D-0220-494F-AEE3-F9B9230212B0}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1" formatCode="_-[$$-409]* #,##0.00_ ;_-[$$-409]* \-#,##0.00\ ;_-[$$-409]* &quot;-&quot;??_ ;_-@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1" formatCode="_-[$$-409]* #,##0.00_ ;_-[$$-409]* \-#,##0.00\ ;_-[$$-409]* &quot;-&quot;??_ ;_-@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E0F7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7BA8A8-B0EF-40FD-98F5-6213DE2D9536}" name="Table2" displayName="Table2" ref="A1:K32" totalsRowShown="0" headerRowDxfId="0" dataDxfId="1" headerRowCellStyle="Normal 2" dataCellStyle="Normal 2">
  <autoFilter ref="A1:K32" xr:uid="{9D7706AD-1B3F-4B11-980D-8F164FEBBE07}"/>
  <tableColumns count="11">
    <tableColumn id="1" xr3:uid="{278A7596-0514-4C29-A03C-9297E87D628E}" name="Product ID" dataDxfId="12" dataCellStyle="Normal 2"/>
    <tableColumn id="2" xr3:uid="{2E0911A1-86CF-4B4F-B3DE-BF1534F03864}" name="Manufacturing Date" dataDxfId="11" dataCellStyle="Normal 2">
      <calculatedColumnFormula>LEFT(A2,6)</calculatedColumnFormula>
    </tableColumn>
    <tableColumn id="3" xr3:uid="{06D5CD6F-83B2-4048-AE53-B479E4A1844A}" name="Country Code" dataDxfId="10" dataCellStyle="Normal 2">
      <calculatedColumnFormula>RIGHT(A2,2)</calculatedColumnFormula>
    </tableColumn>
    <tableColumn id="4" xr3:uid="{DAF510E1-899C-4D79-8C02-32E2FA9EE681}" name="Product Name" dataDxfId="9" dataCellStyle="Normal 2"/>
    <tableColumn id="5" xr3:uid="{C62739B4-A9B6-46FC-8448-64B217D97573}" name="Brand Name" dataDxfId="8" dataCellStyle="Normal 2"/>
    <tableColumn id="6" xr3:uid="{9F726672-5185-45E9-9FC0-199F56225494}" name="Product Brand" dataDxfId="7" dataCellStyle="Normal 2">
      <calculatedColumnFormula>_xlfn.CONCAT(E2," ",D2)</calculatedColumnFormula>
    </tableColumn>
    <tableColumn id="7" xr3:uid="{2E1A79BA-44CD-4A1C-8D59-1D113FC9C14D}" name="Price($)-Imputed" dataDxfId="6" dataCellStyle="Normal 2">
      <calculatedColumnFormula>IF(ISBLANK(H2),AVERAGE(H2:H35),H2)</calculatedColumnFormula>
    </tableColumn>
    <tableColumn id="8" xr3:uid="{2120708E-C527-4185-BD89-CB6C6A332C30}" name="Price ($)" dataDxfId="5" dataCellStyle="Normal 2"/>
    <tableColumn id="9" xr3:uid="{31CA9B77-D51E-44F3-AA9F-FA7A8ABF2A8F}" name="Quantity" dataDxfId="4" dataCellStyle="Normal 2"/>
    <tableColumn id="10" xr3:uid="{115A682A-17C2-42CB-8109-0D64A14BB6BB}" name="Category-impute" dataDxfId="3" dataCellStyle="Normal 2">
      <calculatedColumnFormula>IF(ISBLANK(K2),"unknown",K2)</calculatedColumnFormula>
    </tableColumn>
    <tableColumn id="11" xr3:uid="{357E353B-3214-4CF5-AB9D-84F370F72CAB}" name="Category" dataDxfId="2" dataCellStyle="Normal 2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40B5-1F8E-4EB8-930F-FF364DC57E26}">
  <sheetPr>
    <outlinePr summaryBelow="0" summaryRight="0"/>
  </sheetPr>
  <dimension ref="A1:K1000"/>
  <sheetViews>
    <sheetView showGridLines="0" topLeftCell="A10" workbookViewId="0">
      <selection activeCell="F20" sqref="F20"/>
    </sheetView>
  </sheetViews>
  <sheetFormatPr defaultColWidth="12.5703125" defaultRowHeight="15" customHeight="1" x14ac:dyDescent="0.2"/>
  <cols>
    <col min="1" max="1" width="12.5703125" style="2" customWidth="1"/>
    <col min="2" max="2" width="7.42578125" style="2" customWidth="1"/>
    <col min="3" max="6" width="12.5703125" style="2" customWidth="1"/>
    <col min="7" max="16384" width="12.5703125" style="2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3" t="s">
        <v>1</v>
      </c>
    </row>
    <row r="4" spans="1:11" ht="15.75" customHeight="1" x14ac:dyDescent="0.25">
      <c r="C4" s="4" t="s">
        <v>2</v>
      </c>
    </row>
    <row r="5" spans="1:11" ht="15.75" customHeight="1" x14ac:dyDescent="0.25">
      <c r="B5" s="5"/>
      <c r="C5" s="4" t="s">
        <v>3</v>
      </c>
    </row>
    <row r="6" spans="1:11" ht="15.75" customHeight="1" x14ac:dyDescent="0.25">
      <c r="B6" s="5"/>
    </row>
    <row r="7" spans="1:11" ht="15.75" customHeight="1" x14ac:dyDescent="0.25">
      <c r="B7" s="3" t="s">
        <v>4</v>
      </c>
    </row>
    <row r="8" spans="1:11" ht="15.75" customHeight="1" x14ac:dyDescent="0.25">
      <c r="C8" s="4" t="s">
        <v>5</v>
      </c>
    </row>
    <row r="9" spans="1:11" ht="15.75" customHeight="1" x14ac:dyDescent="0.25">
      <c r="C9" s="4" t="s">
        <v>6</v>
      </c>
    </row>
    <row r="10" spans="1:11" ht="15.75" customHeight="1" x14ac:dyDescent="0.25">
      <c r="C10" s="4" t="s">
        <v>7</v>
      </c>
    </row>
    <row r="11" spans="1:11" ht="15.75" customHeight="1" x14ac:dyDescent="0.25">
      <c r="B11" s="5"/>
    </row>
    <row r="12" spans="1:11" ht="15.75" customHeight="1" x14ac:dyDescent="0.25">
      <c r="B12" s="3" t="s">
        <v>8</v>
      </c>
    </row>
    <row r="13" spans="1:11" ht="15.75" customHeight="1" x14ac:dyDescent="0.25">
      <c r="B13" s="3"/>
      <c r="C13" s="4" t="s">
        <v>9</v>
      </c>
    </row>
    <row r="14" spans="1:11" ht="15.75" customHeight="1" x14ac:dyDescent="0.2"/>
    <row r="15" spans="1:11" ht="15.75" customHeight="1" x14ac:dyDescent="0.25">
      <c r="B15" s="3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25">
      <c r="B16" s="6"/>
      <c r="C16" s="4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25">
      <c r="B17" s="6"/>
      <c r="C17" s="4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25">
      <c r="B19" s="3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25">
      <c r="B20" s="6"/>
      <c r="C20" s="4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25">
      <c r="B21" s="6"/>
      <c r="C21" s="4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25">
      <c r="B23" s="3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25">
      <c r="B24" s="6"/>
      <c r="C24" s="4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25">
      <c r="B25" s="6"/>
      <c r="C25" s="4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25">
      <c r="B26" s="6"/>
      <c r="C26" s="4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7"/>
      <c r="E27" s="6"/>
      <c r="F27" s="6"/>
      <c r="G27" s="6"/>
      <c r="H27" s="6"/>
      <c r="I27" s="6"/>
      <c r="J27" s="6"/>
      <c r="K27" s="6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A2FF-4B9C-48E5-A27D-F934688B6BBF}">
  <sheetPr>
    <outlinePr summaryBelow="0" summaryRight="0"/>
  </sheetPr>
  <dimension ref="A1:P1000"/>
  <sheetViews>
    <sheetView workbookViewId="0"/>
  </sheetViews>
  <sheetFormatPr defaultColWidth="12.5703125" defaultRowHeight="15" customHeight="1" x14ac:dyDescent="0.2"/>
  <cols>
    <col min="1" max="6" width="12.5703125" style="16" customWidth="1"/>
    <col min="7" max="16384" width="12.5703125" style="16"/>
  </cols>
  <sheetData>
    <row r="1" spans="1:16" ht="15.75" customHeight="1" x14ac:dyDescent="0.2">
      <c r="A1" s="15" t="s">
        <v>19</v>
      </c>
      <c r="B1" s="15" t="s">
        <v>20</v>
      </c>
      <c r="C1" s="15" t="s">
        <v>21</v>
      </c>
      <c r="D1" s="15" t="s">
        <v>22</v>
      </c>
      <c r="E1" s="15" t="s">
        <v>23</v>
      </c>
      <c r="F1" s="15" t="s">
        <v>24</v>
      </c>
    </row>
    <row r="2" spans="1:16" ht="15.75" customHeight="1" x14ac:dyDescent="0.2">
      <c r="A2" s="17" t="s">
        <v>25</v>
      </c>
      <c r="B2" s="17" t="s">
        <v>26</v>
      </c>
      <c r="C2" s="17" t="s">
        <v>27</v>
      </c>
      <c r="D2" s="17">
        <v>1000</v>
      </c>
      <c r="E2" s="17">
        <v>30</v>
      </c>
      <c r="F2" s="17" t="s">
        <v>28</v>
      </c>
    </row>
    <row r="3" spans="1:16" ht="15.75" customHeight="1" x14ac:dyDescent="0.25">
      <c r="A3" s="18" t="s">
        <v>29</v>
      </c>
      <c r="B3" s="18" t="s">
        <v>30</v>
      </c>
      <c r="C3" s="18" t="s">
        <v>31</v>
      </c>
      <c r="D3" s="18">
        <v>80</v>
      </c>
      <c r="E3" s="18">
        <v>15</v>
      </c>
      <c r="F3" s="18" t="s">
        <v>32</v>
      </c>
      <c r="I3" s="19"/>
      <c r="J3" s="17"/>
      <c r="K3" s="17"/>
      <c r="L3" s="17"/>
      <c r="M3" s="17"/>
      <c r="N3" s="17"/>
      <c r="O3" s="17"/>
      <c r="P3" s="17"/>
    </row>
    <row r="4" spans="1:16" ht="15.75" customHeight="1" x14ac:dyDescent="0.25">
      <c r="A4" s="17" t="s">
        <v>33</v>
      </c>
      <c r="B4" s="17" t="s">
        <v>34</v>
      </c>
      <c r="C4" s="17" t="s">
        <v>35</v>
      </c>
      <c r="D4" s="17">
        <v>130</v>
      </c>
      <c r="E4" s="17">
        <v>40</v>
      </c>
      <c r="F4" s="17" t="s">
        <v>36</v>
      </c>
      <c r="I4" s="17"/>
      <c r="J4" s="20"/>
      <c r="K4" s="17"/>
      <c r="L4" s="17"/>
      <c r="M4" s="17"/>
      <c r="N4" s="17"/>
      <c r="O4" s="17"/>
      <c r="P4" s="17"/>
    </row>
    <row r="5" spans="1:16" ht="15.75" customHeight="1" x14ac:dyDescent="0.25">
      <c r="A5" s="18" t="s">
        <v>37</v>
      </c>
      <c r="B5" s="18" t="s">
        <v>38</v>
      </c>
      <c r="C5" s="18" t="s">
        <v>39</v>
      </c>
      <c r="D5" s="18">
        <v>900</v>
      </c>
      <c r="E5" s="18">
        <v>25</v>
      </c>
      <c r="F5" s="18" t="s">
        <v>28</v>
      </c>
      <c r="I5" s="17"/>
      <c r="J5" s="20"/>
      <c r="K5" s="17"/>
      <c r="L5" s="17"/>
      <c r="M5" s="17"/>
      <c r="N5" s="17"/>
      <c r="O5" s="17"/>
      <c r="P5" s="17"/>
    </row>
    <row r="6" spans="1:16" ht="15.75" customHeight="1" x14ac:dyDescent="0.2">
      <c r="A6" s="17" t="s">
        <v>40</v>
      </c>
      <c r="B6" s="17" t="s">
        <v>41</v>
      </c>
      <c r="C6" s="17" t="s">
        <v>42</v>
      </c>
      <c r="D6" s="17">
        <v>70</v>
      </c>
      <c r="E6" s="17">
        <v>20</v>
      </c>
      <c r="F6" s="17"/>
    </row>
    <row r="7" spans="1:16" ht="15.75" customHeight="1" x14ac:dyDescent="0.2">
      <c r="A7" s="18" t="s">
        <v>43</v>
      </c>
      <c r="B7" s="18" t="s">
        <v>44</v>
      </c>
      <c r="C7" s="18" t="s">
        <v>45</v>
      </c>
      <c r="D7" s="18"/>
      <c r="E7" s="18">
        <v>45</v>
      </c>
      <c r="F7" s="18" t="s">
        <v>46</v>
      </c>
    </row>
    <row r="8" spans="1:16" ht="15.75" customHeight="1" x14ac:dyDescent="0.2">
      <c r="A8" s="17" t="s">
        <v>47</v>
      </c>
      <c r="B8" s="17" t="s">
        <v>48</v>
      </c>
      <c r="C8" s="17" t="s">
        <v>49</v>
      </c>
      <c r="D8" s="17">
        <v>30</v>
      </c>
      <c r="E8" s="17">
        <v>5</v>
      </c>
      <c r="F8" s="17" t="s">
        <v>32</v>
      </c>
    </row>
    <row r="9" spans="1:16" ht="15.75" customHeight="1" x14ac:dyDescent="0.2">
      <c r="A9" s="18" t="s">
        <v>50</v>
      </c>
      <c r="B9" s="18" t="s">
        <v>51</v>
      </c>
      <c r="C9" s="18" t="s">
        <v>52</v>
      </c>
      <c r="D9" s="18">
        <v>90</v>
      </c>
      <c r="E9" s="18">
        <v>35</v>
      </c>
      <c r="F9" s="18" t="s">
        <v>36</v>
      </c>
    </row>
    <row r="10" spans="1:16" ht="15.75" customHeight="1" x14ac:dyDescent="0.2">
      <c r="A10" s="17" t="s">
        <v>53</v>
      </c>
      <c r="B10" s="17" t="s">
        <v>54</v>
      </c>
      <c r="C10" s="17" t="s">
        <v>55</v>
      </c>
      <c r="D10" s="17">
        <v>500</v>
      </c>
      <c r="E10" s="17">
        <v>50</v>
      </c>
      <c r="F10" s="17" t="s">
        <v>28</v>
      </c>
    </row>
    <row r="11" spans="1:16" ht="15.75" customHeight="1" x14ac:dyDescent="0.2">
      <c r="A11" s="18" t="s">
        <v>56</v>
      </c>
      <c r="B11" s="18" t="s">
        <v>57</v>
      </c>
      <c r="C11" s="18" t="s">
        <v>58</v>
      </c>
      <c r="D11" s="18">
        <v>130</v>
      </c>
      <c r="E11" s="18">
        <v>10</v>
      </c>
      <c r="F11" s="18" t="s">
        <v>59</v>
      </c>
    </row>
    <row r="12" spans="1:16" ht="15.75" customHeight="1" x14ac:dyDescent="0.2">
      <c r="A12" s="17" t="s">
        <v>60</v>
      </c>
      <c r="B12" s="17" t="s">
        <v>61</v>
      </c>
      <c r="C12" s="17" t="s">
        <v>62</v>
      </c>
      <c r="D12" s="17">
        <v>950</v>
      </c>
      <c r="E12" s="17">
        <v>25</v>
      </c>
      <c r="F12" s="17" t="s">
        <v>28</v>
      </c>
    </row>
    <row r="13" spans="1:16" ht="15.75" customHeight="1" x14ac:dyDescent="0.2">
      <c r="A13" s="18" t="s">
        <v>63</v>
      </c>
      <c r="B13" s="18" t="s">
        <v>30</v>
      </c>
      <c r="C13" s="18" t="s">
        <v>49</v>
      </c>
      <c r="D13" s="18">
        <v>90</v>
      </c>
      <c r="E13" s="18">
        <v>40</v>
      </c>
      <c r="F13" s="18"/>
    </row>
    <row r="14" spans="1:16" ht="15.75" customHeight="1" x14ac:dyDescent="0.2">
      <c r="A14" s="17" t="s">
        <v>64</v>
      </c>
      <c r="B14" s="17" t="s">
        <v>34</v>
      </c>
      <c r="C14" s="17" t="s">
        <v>65</v>
      </c>
      <c r="D14" s="17">
        <v>120</v>
      </c>
      <c r="E14" s="17">
        <v>35</v>
      </c>
      <c r="F14" s="17"/>
    </row>
    <row r="15" spans="1:16" ht="15.75" customHeight="1" x14ac:dyDescent="0.2">
      <c r="A15" s="18" t="s">
        <v>66</v>
      </c>
      <c r="B15" s="18" t="s">
        <v>67</v>
      </c>
      <c r="C15" s="18" t="s">
        <v>68</v>
      </c>
      <c r="D15" s="18">
        <v>150</v>
      </c>
      <c r="E15" s="18">
        <v>15</v>
      </c>
      <c r="F15" s="18" t="s">
        <v>46</v>
      </c>
    </row>
    <row r="16" spans="1:16" ht="15.75" customHeight="1" x14ac:dyDescent="0.2">
      <c r="A16" s="17" t="s">
        <v>69</v>
      </c>
      <c r="B16" s="17" t="s">
        <v>70</v>
      </c>
      <c r="C16" s="17" t="s">
        <v>71</v>
      </c>
      <c r="D16" s="17">
        <v>250</v>
      </c>
      <c r="E16" s="17">
        <v>20</v>
      </c>
      <c r="F16" s="17" t="s">
        <v>46</v>
      </c>
    </row>
    <row r="17" spans="1:6" ht="15.75" customHeight="1" x14ac:dyDescent="0.2">
      <c r="A17" s="18" t="s">
        <v>72</v>
      </c>
      <c r="B17" s="18" t="s">
        <v>73</v>
      </c>
      <c r="C17" s="18" t="s">
        <v>74</v>
      </c>
      <c r="D17" s="18">
        <v>50</v>
      </c>
      <c r="E17" s="18">
        <v>35</v>
      </c>
      <c r="F17" s="18" t="s">
        <v>75</v>
      </c>
    </row>
    <row r="18" spans="1:6" ht="15.75" customHeight="1" x14ac:dyDescent="0.2">
      <c r="A18" s="17" t="s">
        <v>76</v>
      </c>
      <c r="B18" s="17" t="s">
        <v>67</v>
      </c>
      <c r="C18" s="17" t="s">
        <v>77</v>
      </c>
      <c r="D18" s="17">
        <v>160</v>
      </c>
      <c r="E18" s="17">
        <v>15</v>
      </c>
      <c r="F18" s="17" t="s">
        <v>46</v>
      </c>
    </row>
    <row r="19" spans="1:6" ht="15.75" customHeight="1" x14ac:dyDescent="0.2">
      <c r="A19" s="18" t="s">
        <v>78</v>
      </c>
      <c r="B19" s="18" t="s">
        <v>26</v>
      </c>
      <c r="C19" s="18" t="s">
        <v>79</v>
      </c>
      <c r="D19" s="18">
        <v>980</v>
      </c>
      <c r="E19" s="18">
        <v>10</v>
      </c>
      <c r="F19" s="18" t="s">
        <v>28</v>
      </c>
    </row>
    <row r="20" spans="1:6" ht="15.75" customHeight="1" x14ac:dyDescent="0.2">
      <c r="A20" s="17" t="s">
        <v>80</v>
      </c>
      <c r="B20" s="17" t="s">
        <v>81</v>
      </c>
      <c r="C20" s="17" t="s">
        <v>82</v>
      </c>
      <c r="D20" s="17">
        <v>150</v>
      </c>
      <c r="E20" s="17">
        <v>15</v>
      </c>
      <c r="F20" s="17" t="s">
        <v>32</v>
      </c>
    </row>
    <row r="21" spans="1:6" ht="15.75" customHeight="1" x14ac:dyDescent="0.2">
      <c r="A21" s="18" t="s">
        <v>83</v>
      </c>
      <c r="B21" s="18" t="s">
        <v>84</v>
      </c>
      <c r="C21" s="18" t="s">
        <v>85</v>
      </c>
      <c r="D21" s="18"/>
      <c r="E21" s="18">
        <v>10</v>
      </c>
      <c r="F21" s="18" t="s">
        <v>59</v>
      </c>
    </row>
    <row r="22" spans="1:6" ht="15.75" customHeight="1" x14ac:dyDescent="0.2">
      <c r="A22" s="17" t="s">
        <v>86</v>
      </c>
      <c r="B22" s="17" t="s">
        <v>87</v>
      </c>
      <c r="C22" s="17" t="s">
        <v>88</v>
      </c>
      <c r="D22" s="17">
        <v>700</v>
      </c>
      <c r="E22" s="17">
        <v>50</v>
      </c>
      <c r="F22" s="17" t="s">
        <v>28</v>
      </c>
    </row>
    <row r="23" spans="1:6" ht="15.75" customHeight="1" x14ac:dyDescent="0.2">
      <c r="A23" s="18" t="s">
        <v>89</v>
      </c>
      <c r="B23" s="18" t="s">
        <v>90</v>
      </c>
      <c r="C23" s="18" t="s">
        <v>91</v>
      </c>
      <c r="D23" s="18">
        <v>80</v>
      </c>
      <c r="E23" s="18">
        <v>20</v>
      </c>
      <c r="F23" s="18" t="s">
        <v>36</v>
      </c>
    </row>
    <row r="24" spans="1:6" ht="15.75" customHeight="1" x14ac:dyDescent="0.2">
      <c r="A24" s="17" t="s">
        <v>92</v>
      </c>
      <c r="B24" s="17" t="s">
        <v>93</v>
      </c>
      <c r="C24" s="17" t="s">
        <v>94</v>
      </c>
      <c r="D24" s="17">
        <v>150</v>
      </c>
      <c r="E24" s="17">
        <v>30</v>
      </c>
      <c r="F24" s="17"/>
    </row>
    <row r="25" spans="1:6" ht="15.75" customHeight="1" x14ac:dyDescent="0.2">
      <c r="A25" s="18" t="s">
        <v>72</v>
      </c>
      <c r="B25" s="18" t="s">
        <v>73</v>
      </c>
      <c r="C25" s="18" t="s">
        <v>74</v>
      </c>
      <c r="D25" s="18">
        <v>50</v>
      </c>
      <c r="E25" s="18">
        <v>35</v>
      </c>
      <c r="F25" s="18" t="s">
        <v>75</v>
      </c>
    </row>
    <row r="26" spans="1:6" ht="15.75" customHeight="1" x14ac:dyDescent="0.2">
      <c r="A26" s="17" t="s">
        <v>95</v>
      </c>
      <c r="B26" s="17" t="s">
        <v>96</v>
      </c>
      <c r="C26" s="17" t="s">
        <v>97</v>
      </c>
      <c r="D26" s="17">
        <v>800</v>
      </c>
      <c r="E26" s="17">
        <v>45</v>
      </c>
      <c r="F26" s="17" t="s">
        <v>28</v>
      </c>
    </row>
    <row r="27" spans="1:6" ht="15.75" customHeight="1" x14ac:dyDescent="0.2">
      <c r="A27" s="18" t="s">
        <v>98</v>
      </c>
      <c r="B27" s="18" t="s">
        <v>81</v>
      </c>
      <c r="C27" s="18" t="s">
        <v>99</v>
      </c>
      <c r="D27" s="18"/>
      <c r="E27" s="18">
        <v>25</v>
      </c>
      <c r="F27" s="18" t="s">
        <v>32</v>
      </c>
    </row>
    <row r="28" spans="1:6" ht="15.75" customHeight="1" x14ac:dyDescent="0.2">
      <c r="A28" s="17" t="s">
        <v>100</v>
      </c>
      <c r="B28" s="17" t="s">
        <v>51</v>
      </c>
      <c r="C28" s="17" t="s">
        <v>101</v>
      </c>
      <c r="D28" s="17">
        <v>400</v>
      </c>
      <c r="E28" s="17">
        <v>40</v>
      </c>
      <c r="F28" s="17" t="s">
        <v>36</v>
      </c>
    </row>
    <row r="29" spans="1:6" ht="15.75" customHeight="1" x14ac:dyDescent="0.2">
      <c r="A29" s="18" t="s">
        <v>69</v>
      </c>
      <c r="B29" s="18" t="s">
        <v>70</v>
      </c>
      <c r="C29" s="18" t="s">
        <v>71</v>
      </c>
      <c r="D29" s="18">
        <v>250</v>
      </c>
      <c r="E29" s="18">
        <v>20</v>
      </c>
      <c r="F29" s="18" t="s">
        <v>46</v>
      </c>
    </row>
    <row r="30" spans="1:6" ht="15.75" customHeight="1" x14ac:dyDescent="0.2">
      <c r="A30" s="17" t="s">
        <v>102</v>
      </c>
      <c r="B30" s="17" t="s">
        <v>103</v>
      </c>
      <c r="C30" s="17" t="s">
        <v>104</v>
      </c>
      <c r="D30" s="17">
        <v>60</v>
      </c>
      <c r="E30" s="17">
        <v>30</v>
      </c>
      <c r="F30" s="17" t="s">
        <v>32</v>
      </c>
    </row>
    <row r="31" spans="1:6" ht="15.75" customHeight="1" x14ac:dyDescent="0.2">
      <c r="A31" s="18" t="s">
        <v>105</v>
      </c>
      <c r="B31" s="18" t="s">
        <v>106</v>
      </c>
      <c r="C31" s="18" t="s">
        <v>107</v>
      </c>
      <c r="D31" s="18">
        <v>40</v>
      </c>
      <c r="E31" s="18">
        <v>10</v>
      </c>
      <c r="F31" s="18" t="s">
        <v>36</v>
      </c>
    </row>
    <row r="32" spans="1:6" ht="15.75" customHeight="1" x14ac:dyDescent="0.2">
      <c r="A32" s="17" t="s">
        <v>108</v>
      </c>
      <c r="B32" s="17" t="s">
        <v>93</v>
      </c>
      <c r="C32" s="17" t="s">
        <v>109</v>
      </c>
      <c r="D32" s="17">
        <v>130</v>
      </c>
      <c r="E32" s="17">
        <v>5</v>
      </c>
      <c r="F32" s="17" t="s">
        <v>28</v>
      </c>
    </row>
    <row r="33" spans="1:6" ht="15.75" customHeight="1" x14ac:dyDescent="0.2">
      <c r="A33" s="18" t="s">
        <v>110</v>
      </c>
      <c r="B33" s="18" t="s">
        <v>111</v>
      </c>
      <c r="C33" s="18" t="s">
        <v>112</v>
      </c>
      <c r="D33" s="18">
        <v>50</v>
      </c>
      <c r="E33" s="18">
        <v>50</v>
      </c>
      <c r="F33" s="18" t="s">
        <v>32</v>
      </c>
    </row>
    <row r="34" spans="1:6" ht="15.75" customHeight="1" x14ac:dyDescent="0.2">
      <c r="A34" s="17" t="s">
        <v>60</v>
      </c>
      <c r="B34" s="17" t="s">
        <v>61</v>
      </c>
      <c r="C34" s="17" t="s">
        <v>62</v>
      </c>
      <c r="D34" s="17">
        <v>950</v>
      </c>
      <c r="E34" s="17">
        <v>25</v>
      </c>
      <c r="F34" s="17" t="s">
        <v>28</v>
      </c>
    </row>
    <row r="35" spans="1:6" ht="15.75" customHeight="1" x14ac:dyDescent="0.2">
      <c r="A35" s="18" t="s">
        <v>113</v>
      </c>
      <c r="B35" s="18" t="s">
        <v>114</v>
      </c>
      <c r="C35" s="18" t="s">
        <v>115</v>
      </c>
      <c r="D35" s="18">
        <v>100</v>
      </c>
      <c r="E35" s="18">
        <v>20</v>
      </c>
      <c r="F35" s="18" t="s">
        <v>75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27728-9621-42B8-9CA5-9D72906A93D9}">
  <sheetPr>
    <outlinePr summaryBelow="0" summaryRight="0"/>
  </sheetPr>
  <dimension ref="A1:U1000"/>
  <sheetViews>
    <sheetView tabSelected="1" zoomScaleNormal="100" workbookViewId="0">
      <selection activeCell="L10" sqref="L10"/>
    </sheetView>
  </sheetViews>
  <sheetFormatPr defaultColWidth="12.5703125" defaultRowHeight="15" customHeight="1" x14ac:dyDescent="0.2"/>
  <cols>
    <col min="1" max="1" width="12.5703125" style="2" customWidth="1"/>
    <col min="2" max="2" width="20.85546875" style="2" customWidth="1"/>
    <col min="3" max="3" width="15.42578125" style="2" customWidth="1"/>
    <col min="4" max="4" width="16" style="2" customWidth="1"/>
    <col min="5" max="5" width="14.42578125" style="2" customWidth="1"/>
    <col min="6" max="6" width="21.7109375" style="2" bestFit="1" customWidth="1"/>
    <col min="7" max="7" width="18" style="2" customWidth="1"/>
    <col min="8" max="9" width="12.5703125" style="2" customWidth="1"/>
    <col min="10" max="10" width="18.140625" style="2" customWidth="1"/>
    <col min="11" max="11" width="14.42578125" style="2" bestFit="1" customWidth="1"/>
    <col min="12" max="16384" width="12.5703125" style="2"/>
  </cols>
  <sheetData>
    <row r="1" spans="1:21" ht="15.75" customHeight="1" x14ac:dyDescent="0.2">
      <c r="A1" s="8" t="s">
        <v>19</v>
      </c>
      <c r="B1" s="8" t="s">
        <v>117</v>
      </c>
      <c r="C1" s="8" t="s">
        <v>118</v>
      </c>
      <c r="D1" s="8" t="s">
        <v>20</v>
      </c>
      <c r="E1" s="8" t="s">
        <v>21</v>
      </c>
      <c r="F1" s="8" t="s">
        <v>119</v>
      </c>
      <c r="G1" s="8" t="s">
        <v>116</v>
      </c>
      <c r="H1" s="8" t="s">
        <v>22</v>
      </c>
      <c r="I1" s="8" t="s">
        <v>23</v>
      </c>
      <c r="J1" s="9" t="s">
        <v>120</v>
      </c>
      <c r="K1" s="8" t="s">
        <v>24</v>
      </c>
    </row>
    <row r="2" spans="1:21" ht="15.75" customHeight="1" x14ac:dyDescent="0.2">
      <c r="A2" s="11" t="s">
        <v>25</v>
      </c>
      <c r="B2" s="10" t="str">
        <f>LEFT(A2,6)</f>
        <v>28-JAN</v>
      </c>
      <c r="C2" s="11" t="str">
        <f>RIGHT(A2,2)</f>
        <v>US</v>
      </c>
      <c r="D2" s="11" t="s">
        <v>61</v>
      </c>
      <c r="E2" s="11" t="s">
        <v>27</v>
      </c>
      <c r="F2" s="11" t="str">
        <f>_xlfn.CONCAT(E2," ",D2)</f>
        <v>Dell Laptop</v>
      </c>
      <c r="G2" s="12">
        <f>IF(ISBLANK(H2),AVERAGE(H2:H35),H2)</f>
        <v>1000</v>
      </c>
      <c r="H2" s="13">
        <v>1000</v>
      </c>
      <c r="I2" s="11">
        <v>30</v>
      </c>
      <c r="J2" s="11" t="str">
        <f>IF(ISBLANK(K2),"unknown",K2)</f>
        <v>Electronics</v>
      </c>
      <c r="K2" s="11" t="s">
        <v>28</v>
      </c>
    </row>
    <row r="3" spans="1:21" ht="15.75" customHeight="1" x14ac:dyDescent="0.25">
      <c r="A3" s="14" t="s">
        <v>29</v>
      </c>
      <c r="B3" s="10" t="str">
        <f t="shared" ref="B3:B32" si="0">LEFT(A3,6)</f>
        <v>15-FEB</v>
      </c>
      <c r="C3" s="10" t="str">
        <f t="shared" ref="C3:C32" si="1">RIGHT(A3,2)</f>
        <v>US</v>
      </c>
      <c r="D3" s="11" t="s">
        <v>30</v>
      </c>
      <c r="E3" s="11" t="s">
        <v>31</v>
      </c>
      <c r="F3" s="11" t="str">
        <f t="shared" ref="F3:F32" si="2">_xlfn.CONCAT(E3," ",D3)</f>
        <v>Nike Sneakers</v>
      </c>
      <c r="G3" s="11">
        <f>IF(ISBLANK(H3),AVERAGE(H3:H36),H3)</f>
        <v>80</v>
      </c>
      <c r="H3" s="13">
        <v>80</v>
      </c>
      <c r="I3" s="11">
        <v>15</v>
      </c>
      <c r="J3" s="11" t="str">
        <f>IF(ISBLANK(K3),"unknown",K3)</f>
        <v>Fashion</v>
      </c>
      <c r="K3" s="11" t="s">
        <v>32</v>
      </c>
      <c r="N3" s="3"/>
      <c r="O3" s="6"/>
      <c r="P3" s="6"/>
      <c r="Q3" s="6"/>
      <c r="R3" s="6"/>
      <c r="S3" s="6"/>
      <c r="T3" s="6"/>
      <c r="U3" s="6"/>
    </row>
    <row r="4" spans="1:21" ht="15.75" customHeight="1" x14ac:dyDescent="0.25">
      <c r="A4" s="11" t="s">
        <v>33</v>
      </c>
      <c r="B4" s="10" t="str">
        <f t="shared" si="0"/>
        <v>03-MAR</v>
      </c>
      <c r="C4" s="11" t="str">
        <f t="shared" si="1"/>
        <v>US</v>
      </c>
      <c r="D4" s="11" t="s">
        <v>34</v>
      </c>
      <c r="E4" s="11" t="s">
        <v>35</v>
      </c>
      <c r="F4" s="11" t="str">
        <f t="shared" si="2"/>
        <v>Keurig Coffee Maker</v>
      </c>
      <c r="G4" s="13">
        <f>IF(ISBLANK(H4),AVERAGE(H4:H37),H4)</f>
        <v>130</v>
      </c>
      <c r="H4" s="13">
        <v>130</v>
      </c>
      <c r="I4" s="11">
        <v>40</v>
      </c>
      <c r="J4" s="11" t="str">
        <f>IF(ISBLANK(K4),"unknown",K4)</f>
        <v>Kitchen</v>
      </c>
      <c r="K4" s="11" t="s">
        <v>36</v>
      </c>
      <c r="N4" s="6"/>
      <c r="O4" s="4"/>
      <c r="P4" s="6"/>
      <c r="Q4" s="6"/>
      <c r="R4" s="6"/>
      <c r="S4" s="6"/>
      <c r="T4" s="6"/>
      <c r="U4" s="6"/>
    </row>
    <row r="5" spans="1:21" ht="15.75" customHeight="1" x14ac:dyDescent="0.25">
      <c r="A5" s="11" t="s">
        <v>37</v>
      </c>
      <c r="B5" s="10" t="str">
        <f t="shared" si="0"/>
        <v>11-APR</v>
      </c>
      <c r="C5" s="11" t="str">
        <f t="shared" si="1"/>
        <v>US</v>
      </c>
      <c r="D5" s="11" t="s">
        <v>96</v>
      </c>
      <c r="E5" s="11" t="s">
        <v>39</v>
      </c>
      <c r="F5" s="11" t="str">
        <f t="shared" si="2"/>
        <v>Samsung Smartphone</v>
      </c>
      <c r="G5" s="13">
        <f>IF(ISBLANK(H5),AVERAGE(H5:H38),H5)</f>
        <v>900</v>
      </c>
      <c r="H5" s="13">
        <v>900</v>
      </c>
      <c r="I5" s="11">
        <v>25</v>
      </c>
      <c r="J5" s="11" t="str">
        <f>IF(ISBLANK(K5),"unknown",K5)</f>
        <v>Electronics</v>
      </c>
      <c r="K5" s="11" t="s">
        <v>28</v>
      </c>
      <c r="N5" s="6"/>
      <c r="O5" s="4"/>
      <c r="P5" s="6"/>
      <c r="Q5" s="6"/>
      <c r="R5" s="6"/>
      <c r="S5" s="6"/>
      <c r="T5" s="6"/>
      <c r="U5" s="6"/>
    </row>
    <row r="6" spans="1:21" ht="15.75" customHeight="1" x14ac:dyDescent="0.2">
      <c r="A6" s="11" t="s">
        <v>40</v>
      </c>
      <c r="B6" s="10" t="str">
        <f t="shared" si="0"/>
        <v>22-MAY</v>
      </c>
      <c r="C6" s="11" t="str">
        <f t="shared" si="1"/>
        <v>US</v>
      </c>
      <c r="D6" s="11" t="s">
        <v>41</v>
      </c>
      <c r="E6" s="11" t="s">
        <v>42</v>
      </c>
      <c r="F6" s="11" t="str">
        <f t="shared" si="2"/>
        <v>North Face Backpack</v>
      </c>
      <c r="G6" s="13">
        <f>IF(ISBLANK(H6),AVERAGE(H6:H39),H6)</f>
        <v>70</v>
      </c>
      <c r="H6" s="13">
        <v>70</v>
      </c>
      <c r="I6" s="11">
        <v>20</v>
      </c>
      <c r="J6" s="11" t="str">
        <f>IF(ISBLANK(K6),"unknown",K6)</f>
        <v>unknown</v>
      </c>
      <c r="K6" s="11"/>
    </row>
    <row r="7" spans="1:21" ht="15.75" customHeight="1" x14ac:dyDescent="0.2">
      <c r="A7" s="11" t="s">
        <v>43</v>
      </c>
      <c r="B7" s="10" t="str">
        <f t="shared" si="0"/>
        <v>07-JUN</v>
      </c>
      <c r="C7" s="11" t="str">
        <f t="shared" si="1"/>
        <v>UK</v>
      </c>
      <c r="D7" s="11" t="s">
        <v>44</v>
      </c>
      <c r="E7" s="11" t="s">
        <v>45</v>
      </c>
      <c r="F7" s="11" t="str">
        <f t="shared" si="2"/>
        <v>Sony Headphones</v>
      </c>
      <c r="G7" s="13">
        <f>IF(ISBLANK(H7),AVERAGE(H7:H40),H7)</f>
        <v>267.82608695652175</v>
      </c>
      <c r="H7" s="13"/>
      <c r="I7" s="11">
        <v>45</v>
      </c>
      <c r="J7" s="11" t="str">
        <f>IF(ISBLANK(K7),"unknown",K7)</f>
        <v>Electronics</v>
      </c>
      <c r="K7" s="11" t="s">
        <v>28</v>
      </c>
    </row>
    <row r="8" spans="1:21" ht="15.75" customHeight="1" x14ac:dyDescent="0.2">
      <c r="A8" s="11" t="s">
        <v>47</v>
      </c>
      <c r="B8" s="10" t="str">
        <f t="shared" si="0"/>
        <v>19-JUL</v>
      </c>
      <c r="C8" s="11" t="str">
        <f t="shared" si="1"/>
        <v>UK</v>
      </c>
      <c r="D8" s="11" t="s">
        <v>48</v>
      </c>
      <c r="E8" s="11" t="s">
        <v>49</v>
      </c>
      <c r="F8" s="11" t="str">
        <f t="shared" si="2"/>
        <v>Adidas T-shirt</v>
      </c>
      <c r="G8" s="13">
        <f>IF(ISBLANK(H8),AVERAGE(H8:H41),H8)</f>
        <v>30</v>
      </c>
      <c r="H8" s="13">
        <v>30</v>
      </c>
      <c r="I8" s="11">
        <v>5</v>
      </c>
      <c r="J8" s="11" t="str">
        <f>IF(ISBLANK(K8),"unknown",K8)</f>
        <v>Fashion</v>
      </c>
      <c r="K8" s="11" t="s">
        <v>32</v>
      </c>
    </row>
    <row r="9" spans="1:21" ht="15.75" customHeight="1" x14ac:dyDescent="0.2">
      <c r="A9" s="11" t="s">
        <v>50</v>
      </c>
      <c r="B9" s="10" t="str">
        <f t="shared" si="0"/>
        <v>23-AUG</v>
      </c>
      <c r="C9" s="11" t="str">
        <f t="shared" si="1"/>
        <v>UK</v>
      </c>
      <c r="D9" s="11" t="s">
        <v>51</v>
      </c>
      <c r="E9" s="11" t="s">
        <v>52</v>
      </c>
      <c r="F9" s="11" t="str">
        <f t="shared" si="2"/>
        <v>Ninja Blender</v>
      </c>
      <c r="G9" s="13">
        <f>IF(ISBLANK(H9),AVERAGE(H9:H42),H9)</f>
        <v>90</v>
      </c>
      <c r="H9" s="13">
        <v>90</v>
      </c>
      <c r="I9" s="11">
        <v>35</v>
      </c>
      <c r="J9" s="11" t="str">
        <f>IF(ISBLANK(K9),"unknown",K9)</f>
        <v>Kitchen</v>
      </c>
      <c r="K9" s="11" t="s">
        <v>36</v>
      </c>
    </row>
    <row r="10" spans="1:21" ht="15.75" customHeight="1" x14ac:dyDescent="0.2">
      <c r="A10" s="11" t="s">
        <v>53</v>
      </c>
      <c r="B10" s="10" t="str">
        <f t="shared" si="0"/>
        <v>05-SEP</v>
      </c>
      <c r="C10" s="11" t="str">
        <f t="shared" si="1"/>
        <v>UK</v>
      </c>
      <c r="D10" s="11" t="s">
        <v>54</v>
      </c>
      <c r="E10" s="11" t="s">
        <v>55</v>
      </c>
      <c r="F10" s="11" t="str">
        <f t="shared" si="2"/>
        <v>Apple Tablet</v>
      </c>
      <c r="G10" s="13">
        <f>IF(ISBLANK(H10),AVERAGE(H10:H43),H10)</f>
        <v>500</v>
      </c>
      <c r="H10" s="13">
        <v>500</v>
      </c>
      <c r="I10" s="11">
        <v>50</v>
      </c>
      <c r="J10" s="11" t="str">
        <f>IF(ISBLANK(K10),"unknown",K10)</f>
        <v>Electronics</v>
      </c>
      <c r="K10" s="11" t="s">
        <v>28</v>
      </c>
    </row>
    <row r="11" spans="1:21" ht="15.75" customHeight="1" x14ac:dyDescent="0.2">
      <c r="A11" s="11" t="s">
        <v>56</v>
      </c>
      <c r="B11" s="10" t="str">
        <f t="shared" si="0"/>
        <v>14-OCT</v>
      </c>
      <c r="C11" s="11" t="str">
        <f t="shared" si="1"/>
        <v>UK</v>
      </c>
      <c r="D11" s="11" t="s">
        <v>57</v>
      </c>
      <c r="E11" s="11" t="s">
        <v>58</v>
      </c>
      <c r="F11" s="11" t="str">
        <f t="shared" si="2"/>
        <v>Timberland Hiking Boots</v>
      </c>
      <c r="G11" s="13">
        <f>IF(ISBLANK(H11),AVERAGE(H11:H44),H11)</f>
        <v>130</v>
      </c>
      <c r="H11" s="13">
        <v>130</v>
      </c>
      <c r="I11" s="11">
        <v>10</v>
      </c>
      <c r="J11" s="11" t="str">
        <f>IF(ISBLANK(K11),"unknown",K11)</f>
        <v>Outdoor</v>
      </c>
      <c r="K11" s="11" t="s">
        <v>59</v>
      </c>
    </row>
    <row r="12" spans="1:21" ht="15.75" customHeight="1" x14ac:dyDescent="0.2">
      <c r="A12" s="11" t="s">
        <v>60</v>
      </c>
      <c r="B12" s="10" t="str">
        <f t="shared" si="0"/>
        <v>17-JUN</v>
      </c>
      <c r="C12" s="11" t="str">
        <f t="shared" si="1"/>
        <v>IN</v>
      </c>
      <c r="D12" s="11" t="s">
        <v>61</v>
      </c>
      <c r="E12" s="11" t="s">
        <v>62</v>
      </c>
      <c r="F12" s="11" t="str">
        <f t="shared" si="2"/>
        <v>HP Laptop</v>
      </c>
      <c r="G12" s="13">
        <f>IF(ISBLANK(H12),AVERAGE(H12:H45),H12)</f>
        <v>950</v>
      </c>
      <c r="H12" s="13">
        <v>950</v>
      </c>
      <c r="I12" s="11">
        <v>25</v>
      </c>
      <c r="J12" s="11" t="str">
        <f>IF(ISBLANK(K12),"unknown",K12)</f>
        <v>Electronics</v>
      </c>
      <c r="K12" s="11" t="s">
        <v>28</v>
      </c>
    </row>
    <row r="13" spans="1:21" ht="15.75" customHeight="1" x14ac:dyDescent="0.2">
      <c r="A13" s="11" t="s">
        <v>63</v>
      </c>
      <c r="B13" s="10" t="str">
        <f t="shared" si="0"/>
        <v>25-NOV</v>
      </c>
      <c r="C13" s="11" t="str">
        <f t="shared" si="1"/>
        <v>AU</v>
      </c>
      <c r="D13" s="11" t="s">
        <v>30</v>
      </c>
      <c r="E13" s="11" t="s">
        <v>49</v>
      </c>
      <c r="F13" s="11" t="str">
        <f t="shared" si="2"/>
        <v>Adidas Sneakers</v>
      </c>
      <c r="G13" s="13">
        <f>IF(ISBLANK(H13),AVERAGE(H13:H46),H13)</f>
        <v>90</v>
      </c>
      <c r="H13" s="13">
        <v>90</v>
      </c>
      <c r="I13" s="11">
        <v>40</v>
      </c>
      <c r="J13" s="11" t="str">
        <f>IF(ISBLANK(K13),"unknown",K13)</f>
        <v>unknown</v>
      </c>
      <c r="K13" s="11"/>
    </row>
    <row r="14" spans="1:21" ht="15.75" customHeight="1" x14ac:dyDescent="0.2">
      <c r="A14" s="11" t="s">
        <v>64</v>
      </c>
      <c r="B14" s="10" t="str">
        <f t="shared" si="0"/>
        <v>08-DEC</v>
      </c>
      <c r="C14" s="11" t="str">
        <f t="shared" si="1"/>
        <v>DE</v>
      </c>
      <c r="D14" s="11" t="s">
        <v>34</v>
      </c>
      <c r="E14" s="11" t="s">
        <v>65</v>
      </c>
      <c r="F14" s="11" t="str">
        <f t="shared" si="2"/>
        <v>Nespresso Coffee Maker</v>
      </c>
      <c r="G14" s="13">
        <f>IF(ISBLANK(H14),AVERAGE(H14:H47),H14)</f>
        <v>120</v>
      </c>
      <c r="H14" s="13">
        <v>120</v>
      </c>
      <c r="I14" s="11">
        <v>35</v>
      </c>
      <c r="J14" s="11" t="str">
        <f>IF(ISBLANK(K14),"unknown",K14)</f>
        <v>unknown</v>
      </c>
      <c r="K14" s="11"/>
    </row>
    <row r="15" spans="1:21" ht="15.75" customHeight="1" x14ac:dyDescent="0.2">
      <c r="A15" s="11" t="s">
        <v>66</v>
      </c>
      <c r="B15" s="10" t="str">
        <f t="shared" si="0"/>
        <v>18-FEB</v>
      </c>
      <c r="C15" s="11" t="str">
        <f t="shared" si="1"/>
        <v>CA</v>
      </c>
      <c r="D15" s="11" t="s">
        <v>67</v>
      </c>
      <c r="E15" s="11" t="s">
        <v>68</v>
      </c>
      <c r="F15" s="11" t="str">
        <f t="shared" si="2"/>
        <v>Fitbit Smartwatch</v>
      </c>
      <c r="G15" s="13">
        <f>IF(ISBLANK(H15),AVERAGE(H15:H48),H15)</f>
        <v>150</v>
      </c>
      <c r="H15" s="13">
        <v>150</v>
      </c>
      <c r="I15" s="11">
        <v>15</v>
      </c>
      <c r="J15" s="11" t="str">
        <f>IF(ISBLANK(K15),"unknown",K15)</f>
        <v>Electronics</v>
      </c>
      <c r="K15" s="11" t="s">
        <v>28</v>
      </c>
    </row>
    <row r="16" spans="1:21" ht="15.75" customHeight="1" x14ac:dyDescent="0.2">
      <c r="A16" s="11" t="s">
        <v>69</v>
      </c>
      <c r="B16" s="10" t="str">
        <f t="shared" si="0"/>
        <v>16-APR</v>
      </c>
      <c r="C16" s="11" t="str">
        <f t="shared" si="1"/>
        <v>ES</v>
      </c>
      <c r="D16" s="11" t="s">
        <v>44</v>
      </c>
      <c r="E16" s="11" t="s">
        <v>71</v>
      </c>
      <c r="F16" s="11" t="str">
        <f t="shared" si="2"/>
        <v>Bose Headphones</v>
      </c>
      <c r="G16" s="13">
        <f>IF(ISBLANK(H16),AVERAGE(H16:H49),H16)</f>
        <v>250</v>
      </c>
      <c r="H16" s="13">
        <v>250</v>
      </c>
      <c r="I16" s="11">
        <v>20</v>
      </c>
      <c r="J16" s="11" t="str">
        <f>IF(ISBLANK(K16),"unknown",K16)</f>
        <v>Electronics</v>
      </c>
      <c r="K16" s="11" t="s">
        <v>28</v>
      </c>
    </row>
    <row r="17" spans="1:11" ht="15.75" customHeight="1" x14ac:dyDescent="0.2">
      <c r="A17" s="11" t="s">
        <v>72</v>
      </c>
      <c r="B17" s="10" t="str">
        <f t="shared" si="0"/>
        <v>21-AUG</v>
      </c>
      <c r="C17" s="11" t="str">
        <f t="shared" si="1"/>
        <v>CA</v>
      </c>
      <c r="D17" s="11" t="s">
        <v>73</v>
      </c>
      <c r="E17" s="11" t="s">
        <v>74</v>
      </c>
      <c r="F17" s="11" t="str">
        <f t="shared" si="2"/>
        <v>Samsonite Laptop Bag</v>
      </c>
      <c r="G17" s="13">
        <f>IF(ISBLANK(H17),AVERAGE(H17:H50),H17)</f>
        <v>50</v>
      </c>
      <c r="H17" s="13">
        <v>50</v>
      </c>
      <c r="I17" s="11">
        <v>35</v>
      </c>
      <c r="J17" s="11" t="str">
        <f>IF(ISBLANK(K17),"unknown",K17)</f>
        <v>Accessories</v>
      </c>
      <c r="K17" s="11" t="s">
        <v>75</v>
      </c>
    </row>
    <row r="18" spans="1:11" ht="15.75" customHeight="1" x14ac:dyDescent="0.2">
      <c r="A18" s="11" t="s">
        <v>76</v>
      </c>
      <c r="B18" s="10" t="str">
        <f t="shared" si="0"/>
        <v>20-AUG</v>
      </c>
      <c r="C18" s="11" t="str">
        <f t="shared" si="1"/>
        <v>CN</v>
      </c>
      <c r="D18" s="11" t="s">
        <v>67</v>
      </c>
      <c r="E18" s="11" t="s">
        <v>77</v>
      </c>
      <c r="F18" s="11" t="str">
        <f t="shared" si="2"/>
        <v>Huawei Smartwatch</v>
      </c>
      <c r="G18" s="13">
        <f>IF(ISBLANK(H18),AVERAGE(H18:H51),H18)</f>
        <v>160</v>
      </c>
      <c r="H18" s="13">
        <v>160</v>
      </c>
      <c r="I18" s="11">
        <v>15</v>
      </c>
      <c r="J18" s="11" t="str">
        <f>IF(ISBLANK(K18),"unknown",K18)</f>
        <v>Electronics</v>
      </c>
      <c r="K18" s="11" t="s">
        <v>28</v>
      </c>
    </row>
    <row r="19" spans="1:11" ht="15.75" customHeight="1" x14ac:dyDescent="0.2">
      <c r="A19" s="11" t="s">
        <v>78</v>
      </c>
      <c r="B19" s="10" t="str">
        <f t="shared" si="0"/>
        <v>27-JAN</v>
      </c>
      <c r="C19" s="11" t="str">
        <f t="shared" si="1"/>
        <v>IT</v>
      </c>
      <c r="D19" s="11" t="s">
        <v>61</v>
      </c>
      <c r="E19" s="11" t="s">
        <v>79</v>
      </c>
      <c r="F19" s="11" t="str">
        <f t="shared" si="2"/>
        <v>Asus Laptop</v>
      </c>
      <c r="G19" s="13">
        <f>IF(ISBLANK(H19),AVERAGE(H19:H52),H19)</f>
        <v>980</v>
      </c>
      <c r="H19" s="13">
        <v>980</v>
      </c>
      <c r="I19" s="11">
        <v>10</v>
      </c>
      <c r="J19" s="11" t="str">
        <f>IF(ISBLANK(K19),"unknown",K19)</f>
        <v>Electronics</v>
      </c>
      <c r="K19" s="11" t="s">
        <v>28</v>
      </c>
    </row>
    <row r="20" spans="1:11" ht="15.75" customHeight="1" x14ac:dyDescent="0.2">
      <c r="A20" s="11" t="s">
        <v>80</v>
      </c>
      <c r="B20" s="10" t="str">
        <f t="shared" si="0"/>
        <v>01-MAR</v>
      </c>
      <c r="C20" s="11" t="str">
        <f t="shared" si="1"/>
        <v>UK</v>
      </c>
      <c r="D20" s="11" t="s">
        <v>81</v>
      </c>
      <c r="E20" s="11" t="s">
        <v>82</v>
      </c>
      <c r="F20" s="11" t="str">
        <f t="shared" si="2"/>
        <v>Oakley Sunglasses</v>
      </c>
      <c r="G20" s="13">
        <f>IF(ISBLANK(H20),AVERAGE(H20:H53),H20)</f>
        <v>150</v>
      </c>
      <c r="H20" s="13">
        <v>150</v>
      </c>
      <c r="I20" s="11">
        <v>15</v>
      </c>
      <c r="J20" s="11" t="str">
        <f>IF(ISBLANK(K20),"unknown",K20)</f>
        <v>Fashion</v>
      </c>
      <c r="K20" s="11" t="s">
        <v>32</v>
      </c>
    </row>
    <row r="21" spans="1:11" ht="15.75" customHeight="1" x14ac:dyDescent="0.2">
      <c r="A21" s="11" t="s">
        <v>83</v>
      </c>
      <c r="B21" s="10" t="str">
        <f t="shared" si="0"/>
        <v>14-AUG</v>
      </c>
      <c r="C21" s="11" t="str">
        <f t="shared" si="1"/>
        <v>US</v>
      </c>
      <c r="D21" s="11" t="s">
        <v>84</v>
      </c>
      <c r="E21" s="11" t="s">
        <v>85</v>
      </c>
      <c r="F21" s="11" t="str">
        <f t="shared" si="2"/>
        <v>Coleman Camping Tent</v>
      </c>
      <c r="G21" s="13">
        <f>IF(ISBLANK(H21),AVERAGE(H21:H54),H21)</f>
        <v>251</v>
      </c>
      <c r="H21" s="13"/>
      <c r="I21" s="11">
        <v>10</v>
      </c>
      <c r="J21" s="11" t="str">
        <f>IF(ISBLANK(K21),"unknown",K21)</f>
        <v>Outdoor</v>
      </c>
      <c r="K21" s="11" t="s">
        <v>59</v>
      </c>
    </row>
    <row r="22" spans="1:11" ht="15.75" customHeight="1" x14ac:dyDescent="0.2">
      <c r="A22" s="11" t="s">
        <v>86</v>
      </c>
      <c r="B22" s="10" t="str">
        <f t="shared" si="0"/>
        <v>14-MAY</v>
      </c>
      <c r="C22" s="11" t="str">
        <f t="shared" si="1"/>
        <v>RU</v>
      </c>
      <c r="D22" s="11" t="s">
        <v>87</v>
      </c>
      <c r="E22" s="11" t="s">
        <v>88</v>
      </c>
      <c r="F22" s="11" t="str">
        <f t="shared" si="2"/>
        <v>Nikon Camera</v>
      </c>
      <c r="G22" s="13">
        <f>IF(ISBLANK(H22),AVERAGE(H22:H55),H22)</f>
        <v>700</v>
      </c>
      <c r="H22" s="13">
        <v>700</v>
      </c>
      <c r="I22" s="11">
        <v>50</v>
      </c>
      <c r="J22" s="11" t="str">
        <f>IF(ISBLANK(K22),"unknown",K22)</f>
        <v>Electronics</v>
      </c>
      <c r="K22" s="11" t="s">
        <v>28</v>
      </c>
    </row>
    <row r="23" spans="1:11" ht="15.75" customHeight="1" x14ac:dyDescent="0.2">
      <c r="A23" s="11" t="s">
        <v>89</v>
      </c>
      <c r="B23" s="10" t="str">
        <f t="shared" si="0"/>
        <v>09-JAN</v>
      </c>
      <c r="C23" s="11" t="str">
        <f t="shared" si="1"/>
        <v>CA</v>
      </c>
      <c r="D23" s="11" t="s">
        <v>90</v>
      </c>
      <c r="E23" s="11" t="s">
        <v>91</v>
      </c>
      <c r="F23" s="11" t="str">
        <f t="shared" si="2"/>
        <v>Panasonic Microwave</v>
      </c>
      <c r="G23" s="13">
        <f>IF(ISBLANK(H23),AVERAGE(H23:H56),H23)</f>
        <v>80</v>
      </c>
      <c r="H23" s="13">
        <v>80</v>
      </c>
      <c r="I23" s="11">
        <v>20</v>
      </c>
      <c r="J23" s="11" t="str">
        <f>IF(ISBLANK(K23),"unknown",K23)</f>
        <v>Kitchen</v>
      </c>
      <c r="K23" s="11" t="s">
        <v>36</v>
      </c>
    </row>
    <row r="24" spans="1:11" ht="15.75" customHeight="1" x14ac:dyDescent="0.2">
      <c r="A24" s="11" t="s">
        <v>92</v>
      </c>
      <c r="B24" s="10" t="str">
        <f t="shared" si="0"/>
        <v>19-JUL</v>
      </c>
      <c r="C24" s="11" t="str">
        <f t="shared" si="1"/>
        <v>BR</v>
      </c>
      <c r="D24" s="11" t="s">
        <v>93</v>
      </c>
      <c r="E24" s="11" t="s">
        <v>94</v>
      </c>
      <c r="F24" s="11" t="str">
        <f t="shared" si="2"/>
        <v>Xiaomi Fitness Tracker</v>
      </c>
      <c r="G24" s="13">
        <f>IF(ISBLANK(H24),AVERAGE(H24:H57),H24)</f>
        <v>150</v>
      </c>
      <c r="H24" s="13">
        <v>150</v>
      </c>
      <c r="I24" s="11">
        <v>30</v>
      </c>
      <c r="J24" s="11" t="str">
        <f>IF(ISBLANK(K24),"unknown",K24)</f>
        <v>unknown</v>
      </c>
      <c r="K24" s="11"/>
    </row>
    <row r="25" spans="1:11" ht="15.75" customHeight="1" x14ac:dyDescent="0.2">
      <c r="A25" s="11" t="s">
        <v>95</v>
      </c>
      <c r="B25" s="10" t="str">
        <f t="shared" si="0"/>
        <v>29-SEP</v>
      </c>
      <c r="C25" s="11" t="str">
        <f t="shared" si="1"/>
        <v>CA</v>
      </c>
      <c r="D25" s="11" t="s">
        <v>96</v>
      </c>
      <c r="E25" s="11" t="s">
        <v>97</v>
      </c>
      <c r="F25" s="11" t="str">
        <f t="shared" si="2"/>
        <v>Google Smartphone</v>
      </c>
      <c r="G25" s="13">
        <f>IF(ISBLANK(H25),AVERAGE(H25:H58),H25)</f>
        <v>800</v>
      </c>
      <c r="H25" s="13">
        <v>800</v>
      </c>
      <c r="I25" s="11">
        <v>45</v>
      </c>
      <c r="J25" s="11" t="str">
        <f>IF(ISBLANK(K25),"unknown",K25)</f>
        <v>Electronics</v>
      </c>
      <c r="K25" s="11" t="s">
        <v>28</v>
      </c>
    </row>
    <row r="26" spans="1:11" ht="15.75" customHeight="1" x14ac:dyDescent="0.2">
      <c r="A26" s="11" t="s">
        <v>98</v>
      </c>
      <c r="B26" s="10" t="str">
        <f t="shared" si="0"/>
        <v>03-JUN</v>
      </c>
      <c r="C26" s="11" t="str">
        <f t="shared" si="1"/>
        <v>CA</v>
      </c>
      <c r="D26" s="11" t="s">
        <v>81</v>
      </c>
      <c r="E26" s="11" t="s">
        <v>99</v>
      </c>
      <c r="F26" s="11" t="str">
        <f t="shared" si="2"/>
        <v>Ray-Ban Sunglasses</v>
      </c>
      <c r="G26" s="13">
        <f>IF(ISBLANK(H26),AVERAGE(H26:H59),H26)</f>
        <v>130</v>
      </c>
      <c r="H26" s="13"/>
      <c r="I26" s="11">
        <v>25</v>
      </c>
      <c r="J26" s="11" t="str">
        <f>IF(ISBLANK(K26),"unknown",K26)</f>
        <v>Fashion</v>
      </c>
      <c r="K26" s="11" t="s">
        <v>32</v>
      </c>
    </row>
    <row r="27" spans="1:11" ht="15.75" customHeight="1" x14ac:dyDescent="0.2">
      <c r="A27" s="11" t="s">
        <v>100</v>
      </c>
      <c r="B27" s="10" t="str">
        <f t="shared" si="0"/>
        <v>11-JUL</v>
      </c>
      <c r="C27" s="11" t="str">
        <f t="shared" si="1"/>
        <v>CA</v>
      </c>
      <c r="D27" s="11" t="s">
        <v>51</v>
      </c>
      <c r="E27" s="11" t="s">
        <v>101</v>
      </c>
      <c r="F27" s="11" t="str">
        <f t="shared" si="2"/>
        <v>Vitamix Blender</v>
      </c>
      <c r="G27" s="13">
        <f>IF(ISBLANK(H27),AVERAGE(H27:H60),H27)</f>
        <v>400</v>
      </c>
      <c r="H27" s="13">
        <v>400</v>
      </c>
      <c r="I27" s="11">
        <v>40</v>
      </c>
      <c r="J27" s="11" t="str">
        <f>IF(ISBLANK(K27),"unknown",K27)</f>
        <v>Kitchen</v>
      </c>
      <c r="K27" s="11" t="s">
        <v>36</v>
      </c>
    </row>
    <row r="28" spans="1:11" ht="15.75" customHeight="1" x14ac:dyDescent="0.2">
      <c r="A28" s="11" t="s">
        <v>102</v>
      </c>
      <c r="B28" s="10" t="str">
        <f t="shared" si="0"/>
        <v>07-MAR</v>
      </c>
      <c r="C28" s="11" t="str">
        <f t="shared" si="1"/>
        <v>CA</v>
      </c>
      <c r="D28" s="11" t="s">
        <v>103</v>
      </c>
      <c r="E28" s="11" t="s">
        <v>104</v>
      </c>
      <c r="F28" s="11" t="str">
        <f t="shared" si="2"/>
        <v>Zara Dress</v>
      </c>
      <c r="G28" s="13">
        <f>IF(ISBLANK(H28),AVERAGE(H28:H61),H28)</f>
        <v>60</v>
      </c>
      <c r="H28" s="13">
        <v>60</v>
      </c>
      <c r="I28" s="11">
        <v>30</v>
      </c>
      <c r="J28" s="11" t="str">
        <f>IF(ISBLANK(K28),"unknown",K28)</f>
        <v>Fashion</v>
      </c>
      <c r="K28" s="11" t="s">
        <v>32</v>
      </c>
    </row>
    <row r="29" spans="1:11" ht="15.75" customHeight="1" x14ac:dyDescent="0.2">
      <c r="A29" s="11" t="s">
        <v>105</v>
      </c>
      <c r="B29" s="10" t="str">
        <f t="shared" si="0"/>
        <v>13-APR</v>
      </c>
      <c r="C29" s="11" t="str">
        <f t="shared" si="1"/>
        <v>CA</v>
      </c>
      <c r="D29" s="11" t="s">
        <v>106</v>
      </c>
      <c r="E29" s="11" t="s">
        <v>107</v>
      </c>
      <c r="F29" s="11" t="str">
        <f t="shared" si="2"/>
        <v>Hamilton Toaster</v>
      </c>
      <c r="G29" s="13">
        <f>IF(ISBLANK(H29),AVERAGE(H29:H62),H29)</f>
        <v>40</v>
      </c>
      <c r="H29" s="13">
        <v>40</v>
      </c>
      <c r="I29" s="11">
        <v>10</v>
      </c>
      <c r="J29" s="11" t="str">
        <f>IF(ISBLANK(K29),"unknown",K29)</f>
        <v>Kitchen</v>
      </c>
      <c r="K29" s="11" t="s">
        <v>36</v>
      </c>
    </row>
    <row r="30" spans="1:11" ht="15.75" customHeight="1" x14ac:dyDescent="0.2">
      <c r="A30" s="11" t="s">
        <v>108</v>
      </c>
      <c r="B30" s="10" t="str">
        <f t="shared" si="0"/>
        <v>24-MAY</v>
      </c>
      <c r="C30" s="11" t="str">
        <f t="shared" si="1"/>
        <v>CA</v>
      </c>
      <c r="D30" s="11" t="s">
        <v>93</v>
      </c>
      <c r="E30" s="11" t="s">
        <v>109</v>
      </c>
      <c r="F30" s="11" t="str">
        <f t="shared" si="2"/>
        <v>Garmin Fitness Tracker</v>
      </c>
      <c r="G30" s="13">
        <f>IF(ISBLANK(H30),AVERAGE(H30:H63),H30)</f>
        <v>130</v>
      </c>
      <c r="H30" s="13">
        <v>130</v>
      </c>
      <c r="I30" s="11">
        <v>5</v>
      </c>
      <c r="J30" s="11" t="str">
        <f>IF(ISBLANK(K30),"unknown",K30)</f>
        <v>Electronics</v>
      </c>
      <c r="K30" s="11" t="s">
        <v>28</v>
      </c>
    </row>
    <row r="31" spans="1:11" ht="15.75" customHeight="1" x14ac:dyDescent="0.2">
      <c r="A31" s="11" t="s">
        <v>110</v>
      </c>
      <c r="B31" s="10" t="str">
        <f t="shared" si="0"/>
        <v>02-DEC</v>
      </c>
      <c r="C31" s="11" t="str">
        <f t="shared" si="1"/>
        <v>CA</v>
      </c>
      <c r="D31" s="11" t="s">
        <v>111</v>
      </c>
      <c r="E31" s="11" t="s">
        <v>112</v>
      </c>
      <c r="F31" s="11" t="str">
        <f t="shared" si="2"/>
        <v>Levi's Jeans</v>
      </c>
      <c r="G31" s="13">
        <f>IF(ISBLANK(H31),AVERAGE(H31:H64),H31)</f>
        <v>50</v>
      </c>
      <c r="H31" s="13">
        <v>50</v>
      </c>
      <c r="I31" s="11">
        <v>50</v>
      </c>
      <c r="J31" s="11" t="str">
        <f>IF(ISBLANK(K31),"unknown",K31)</f>
        <v>Fashion</v>
      </c>
      <c r="K31" s="11" t="s">
        <v>32</v>
      </c>
    </row>
    <row r="32" spans="1:11" ht="15.75" customHeight="1" x14ac:dyDescent="0.2">
      <c r="A32" s="11" t="s">
        <v>113</v>
      </c>
      <c r="B32" s="10" t="str">
        <f t="shared" si="0"/>
        <v>09-JUL</v>
      </c>
      <c r="C32" s="11" t="str">
        <f t="shared" si="1"/>
        <v>FR</v>
      </c>
      <c r="D32" s="11" t="s">
        <v>114</v>
      </c>
      <c r="E32" s="11" t="s">
        <v>115</v>
      </c>
      <c r="F32" s="11" t="str">
        <f t="shared" si="2"/>
        <v>Casio Watch</v>
      </c>
      <c r="G32" s="13">
        <f>IF(ISBLANK(H32),AVERAGE(H32:H65),H32)</f>
        <v>100</v>
      </c>
      <c r="H32" s="13">
        <v>100</v>
      </c>
      <c r="I32" s="11">
        <v>20</v>
      </c>
      <c r="J32" s="11" t="str">
        <f>IF(ISBLANK(K32),"unknown",K32)</f>
        <v>Accessories</v>
      </c>
      <c r="K32" s="11" t="s">
        <v>75</v>
      </c>
    </row>
    <row r="33" spans="1:11" ht="15.75" customHeight="1" x14ac:dyDescent="0.25">
      <c r="A33"/>
      <c r="B33"/>
      <c r="C33"/>
      <c r="D33"/>
      <c r="E33"/>
      <c r="F33"/>
      <c r="G33"/>
      <c r="H33"/>
      <c r="I33"/>
      <c r="J33"/>
      <c r="K33"/>
    </row>
    <row r="34" spans="1:11" ht="15.75" customHeight="1" x14ac:dyDescent="0.25">
      <c r="A34"/>
      <c r="B34"/>
      <c r="C34"/>
      <c r="D34"/>
      <c r="E34"/>
      <c r="F34"/>
      <c r="G34"/>
      <c r="H34"/>
      <c r="I34"/>
      <c r="J34"/>
      <c r="K34"/>
    </row>
    <row r="35" spans="1:11" ht="15.75" customHeight="1" x14ac:dyDescent="0.25">
      <c r="A35"/>
      <c r="B35"/>
      <c r="C35"/>
      <c r="D35"/>
      <c r="E35"/>
      <c r="F35"/>
      <c r="G35"/>
      <c r="H35"/>
      <c r="I35"/>
      <c r="J35"/>
      <c r="K35"/>
    </row>
    <row r="36" spans="1:11" ht="15.75" customHeight="1" x14ac:dyDescent="0.2"/>
    <row r="37" spans="1:11" ht="15.75" customHeight="1" x14ac:dyDescent="0.2"/>
    <row r="38" spans="1:11" ht="15.75" customHeight="1" x14ac:dyDescent="0.2"/>
    <row r="39" spans="1:11" ht="15.75" customHeight="1" x14ac:dyDescent="0.2"/>
    <row r="40" spans="1:11" ht="15.75" customHeight="1" x14ac:dyDescent="0.2"/>
    <row r="41" spans="1:11" ht="15.75" customHeight="1" x14ac:dyDescent="0.2"/>
    <row r="42" spans="1:11" ht="15.75" customHeight="1" x14ac:dyDescent="0.2"/>
    <row r="43" spans="1:11" ht="15.75" customHeight="1" x14ac:dyDescent="0.2"/>
    <row r="44" spans="1:11" ht="15.75" customHeight="1" x14ac:dyDescent="0.2"/>
    <row r="45" spans="1:11" ht="15.75" customHeight="1" x14ac:dyDescent="0.2"/>
    <row r="46" spans="1:11" ht="15.75" customHeight="1" x14ac:dyDescent="0.2"/>
    <row r="47" spans="1:11" ht="15.75" customHeight="1" x14ac:dyDescent="0.2"/>
    <row r="48" spans="1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G4:G32 G2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{DC0BB389-A88B-4FC2-A54F-F3F48C57DF0A}</x14:id>
        </ext>
      </extLst>
    </cfRule>
  </conditionalFormatting>
  <conditionalFormatting sqref="J2:J32">
    <cfRule type="cellIs" dxfId="13" priority="1" operator="equal">
      <formula>"Electronics"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0BB389-A88B-4FC2-A54F-F3F48C57DF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G4:G32 G2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69D55B-8535-4988-9DDE-AEDC18B9A1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2026-09-11T13:00:02Z</dcterms:created>
  <dcterms:modified xsi:type="dcterms:W3CDTF">2026-09-11T15:19:47Z</dcterms:modified>
</cp:coreProperties>
</file>